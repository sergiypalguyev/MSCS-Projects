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3845" windowHeight="903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5621"/>
</workbook>
</file>

<file path=xl/calcChain.xml><?xml version="1.0" encoding="utf-8"?>
<calcChain xmlns="http://schemas.openxmlformats.org/spreadsheetml/2006/main">
  <c r="G11" i="3" l="1"/>
  <c r="H11" i="3"/>
  <c r="H12" i="3"/>
  <c r="H13" i="3"/>
  <c r="H14" i="3"/>
  <c r="G15" i="3"/>
  <c r="H15" i="3"/>
  <c r="H16" i="3"/>
  <c r="H17" i="3"/>
  <c r="H18" i="3"/>
  <c r="G19" i="3"/>
  <c r="H19" i="3"/>
  <c r="H20" i="3"/>
  <c r="H21" i="3"/>
  <c r="H22" i="3"/>
  <c r="G23" i="3"/>
  <c r="H23" i="3"/>
  <c r="H24" i="3"/>
  <c r="H25" i="3"/>
  <c r="H26" i="3"/>
  <c r="G27" i="3"/>
  <c r="H27" i="3"/>
  <c r="H28" i="3"/>
  <c r="H29" i="3"/>
  <c r="H30" i="3"/>
  <c r="G31" i="3"/>
  <c r="H31" i="3"/>
  <c r="H32" i="3"/>
  <c r="H33" i="3"/>
  <c r="H34" i="3"/>
  <c r="F15" i="3"/>
  <c r="F19" i="3"/>
  <c r="F23" i="3"/>
  <c r="F27" i="3"/>
  <c r="F31" i="3"/>
  <c r="F11" i="3"/>
  <c r="D8" i="1"/>
  <c r="D6" i="1"/>
  <c r="D4" i="1" l="1"/>
  <c r="D3" i="1" l="1"/>
  <c r="D5" i="1" l="1"/>
</calcChain>
</file>

<file path=xl/sharedStrings.xml><?xml version="1.0" encoding="utf-8"?>
<sst xmlns="http://schemas.openxmlformats.org/spreadsheetml/2006/main" count="153" uniqueCount="73">
  <si>
    <t>Название</t>
  </si>
  <si>
    <t xml:space="preserve">Цена </t>
  </si>
  <si>
    <t>Количество</t>
  </si>
  <si>
    <t>Total</t>
  </si>
  <si>
    <t>Куриный суп с клецками</t>
  </si>
  <si>
    <t>Салат "Оливье" с говядиной</t>
  </si>
  <si>
    <t>Блинчики с мясом</t>
  </si>
  <si>
    <t>Филе сибаса в кляре</t>
  </si>
  <si>
    <t>Expectations Maximization</t>
  </si>
  <si>
    <t>k-Means Clustering</t>
  </si>
  <si>
    <t>PCA</t>
  </si>
  <si>
    <t>ICA</t>
  </si>
  <si>
    <t>Randomized Projections</t>
  </si>
  <si>
    <t>Any other</t>
  </si>
  <si>
    <t>DataSet 1</t>
  </si>
  <si>
    <t>DataSet 2</t>
  </si>
  <si>
    <t>NeuralNet</t>
  </si>
  <si>
    <t>k-Means</t>
  </si>
  <si>
    <t>EM</t>
  </si>
  <si>
    <t>KM</t>
  </si>
  <si>
    <t>PCA + KM</t>
  </si>
  <si>
    <t>ICA + KM</t>
  </si>
  <si>
    <t>RP + KM</t>
  </si>
  <si>
    <t>XXX + KM</t>
  </si>
  <si>
    <t>PCA + EM</t>
  </si>
  <si>
    <t>ICA + EM</t>
  </si>
  <si>
    <t>RP + EM</t>
  </si>
  <si>
    <t>XXX + EM</t>
  </si>
  <si>
    <t>PCA + NN</t>
  </si>
  <si>
    <t>ICA + NN</t>
  </si>
  <si>
    <t>RP + NN</t>
  </si>
  <si>
    <t>XXX + NN</t>
  </si>
  <si>
    <t>+ NN</t>
  </si>
  <si>
    <t>Homogeneity Score</t>
  </si>
  <si>
    <t>Silhouette Coefficient</t>
  </si>
  <si>
    <t>Cluster Distances</t>
  </si>
  <si>
    <t>var</t>
  </si>
  <si>
    <t>cur</t>
  </si>
  <si>
    <t>skw</t>
  </si>
  <si>
    <t>ent</t>
  </si>
  <si>
    <t>2, 3</t>
  </si>
  <si>
    <t>4, 5</t>
  </si>
  <si>
    <t>6,</t>
  </si>
  <si>
    <t>7, 8</t>
  </si>
  <si>
    <t>9, 10</t>
  </si>
  <si>
    <t>11,</t>
  </si>
  <si>
    <t>12,</t>
  </si>
  <si>
    <t>13,</t>
  </si>
  <si>
    <t>14,16</t>
  </si>
  <si>
    <t>15,17</t>
  </si>
  <si>
    <t>SSE</t>
  </si>
  <si>
    <t>NMI</t>
  </si>
  <si>
    <t>HM</t>
  </si>
  <si>
    <t>CM</t>
  </si>
  <si>
    <t>SIL</t>
  </si>
  <si>
    <t>AIC</t>
  </si>
  <si>
    <t>BIC</t>
  </si>
  <si>
    <t>Banknote</t>
  </si>
  <si>
    <t>Letter</t>
  </si>
  <si>
    <t>Original</t>
  </si>
  <si>
    <t>RP</t>
  </si>
  <si>
    <t>FA</t>
  </si>
  <si>
    <t>NonClustered</t>
  </si>
  <si>
    <t>Gamma</t>
  </si>
  <si>
    <t>Theta</t>
  </si>
  <si>
    <t>itr</t>
  </si>
  <si>
    <t>time</t>
  </si>
  <si>
    <t>delta</t>
  </si>
  <si>
    <t>mean</t>
  </si>
  <si>
    <t>reward</t>
  </si>
  <si>
    <t>564.84s</t>
  </si>
  <si>
    <t>331.85s</t>
  </si>
  <si>
    <t>115.89s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</si>
</sst>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0" fillId="5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quotePrefix="1" applyBorder="1"/>
    <xf numFmtId="0" fontId="0" fillId="0" borderId="6" xfId="0" applyBorder="1"/>
    <xf numFmtId="0" fontId="0" fillId="0" borderId="7" xfId="0" quotePrefix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10" fontId="0" fillId="0" borderId="1" xfId="0" applyNumberFormat="1" applyBorder="1"/>
    <xf numFmtId="9" fontId="0" fillId="0" borderId="1" xfId="0" applyNumberFormat="1" applyBorder="1"/>
    <xf numFmtId="0" fontId="0" fillId="3" borderId="1" xfId="0" applyFill="1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164" fontId="3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11" fontId="0" fillId="3" borderId="4" xfId="0" applyNumberFormat="1" applyFill="1" applyBorder="1" applyAlignment="1">
      <alignment horizontal="left" vertical="center"/>
    </xf>
    <xf numFmtId="0" fontId="0" fillId="4" borderId="5" xfId="0" applyFill="1" applyBorder="1" applyAlignment="1">
      <alignment horizontal="left"/>
    </xf>
    <xf numFmtId="11" fontId="0" fillId="7" borderId="0" xfId="0" applyNumberFormat="1" applyFill="1" applyBorder="1" applyAlignment="1">
      <alignment horizontal="left"/>
    </xf>
    <xf numFmtId="0" fontId="0" fillId="8" borderId="0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0" fillId="8" borderId="12" xfId="0" applyFill="1" applyBorder="1" applyAlignment="1">
      <alignment horizontal="left"/>
    </xf>
    <xf numFmtId="0" fontId="0" fillId="8" borderId="7" xfId="0" applyFill="1" applyBorder="1" applyAlignment="1">
      <alignment horizontal="left"/>
    </xf>
    <xf numFmtId="2" fontId="0" fillId="3" borderId="2" xfId="0" applyNumberFormat="1" applyFill="1" applyBorder="1" applyAlignment="1">
      <alignment horizontal="left" vertical="center"/>
    </xf>
    <xf numFmtId="2" fontId="0" fillId="7" borderId="11" xfId="0" applyNumberForma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11" fontId="3" fillId="0" borderId="13" xfId="0" applyNumberFormat="1" applyFont="1" applyBorder="1"/>
    <xf numFmtId="11" fontId="3" fillId="0" borderId="14" xfId="0" applyNumberFormat="1" applyFont="1" applyBorder="1"/>
    <xf numFmtId="11" fontId="3" fillId="0" borderId="15" xfId="0" applyNumberFormat="1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12" sqref="A12:A13"/>
    </sheetView>
  </sheetViews>
  <sheetFormatPr defaultRowHeight="15" x14ac:dyDescent="0.25"/>
  <cols>
    <col min="1" max="1" width="45.42578125" bestFit="1" customWidth="1"/>
    <col min="2" max="2" width="11.5703125" bestFit="1" customWidth="1"/>
    <col min="4" max="4" width="9.42578125" customWidth="1"/>
  </cols>
  <sheetData>
    <row r="1" spans="1:4" x14ac:dyDescent="0.25">
      <c r="A1" s="2" t="s">
        <v>0</v>
      </c>
      <c r="B1" s="2" t="s">
        <v>2</v>
      </c>
      <c r="C1" s="2" t="s">
        <v>1</v>
      </c>
      <c r="D1" s="2" t="s">
        <v>3</v>
      </c>
    </row>
    <row r="3" spans="1:4" x14ac:dyDescent="0.25">
      <c r="A3" s="1" t="s">
        <v>4</v>
      </c>
      <c r="B3">
        <v>2</v>
      </c>
      <c r="C3">
        <v>21</v>
      </c>
      <c r="D3">
        <f>C3</f>
        <v>21</v>
      </c>
    </row>
    <row r="4" spans="1:4" x14ac:dyDescent="0.25">
      <c r="A4" s="1" t="s">
        <v>5</v>
      </c>
      <c r="B4">
        <v>2</v>
      </c>
      <c r="C4">
        <v>21</v>
      </c>
      <c r="D4">
        <f>B4*C4</f>
        <v>42</v>
      </c>
    </row>
    <row r="5" spans="1:4" x14ac:dyDescent="0.25">
      <c r="A5" s="1" t="s">
        <v>6</v>
      </c>
      <c r="B5">
        <v>12</v>
      </c>
      <c r="C5">
        <v>3.5</v>
      </c>
      <c r="D5">
        <f>B5*C5</f>
        <v>42</v>
      </c>
    </row>
    <row r="6" spans="1:4" x14ac:dyDescent="0.25">
      <c r="A6" s="1" t="s">
        <v>7</v>
      </c>
      <c r="B6">
        <v>10</v>
      </c>
      <c r="C6">
        <v>4.5</v>
      </c>
      <c r="D6">
        <f>B6*C6</f>
        <v>45</v>
      </c>
    </row>
    <row r="7" spans="1:4" x14ac:dyDescent="0.25">
      <c r="A7" s="1"/>
    </row>
    <row r="8" spans="1:4" x14ac:dyDescent="0.25">
      <c r="D8" s="3">
        <f>SUM(D3:D6)</f>
        <v>150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opLeftCell="A4" workbookViewId="0">
      <selection activeCell="F23" sqref="F23"/>
    </sheetView>
  </sheetViews>
  <sheetFormatPr defaultRowHeight="15" x14ac:dyDescent="0.25"/>
  <cols>
    <col min="1" max="1" width="25.140625" bestFit="1" customWidth="1"/>
    <col min="2" max="2" width="16.28515625" bestFit="1" customWidth="1"/>
    <col min="3" max="3" width="10.7109375" bestFit="1" customWidth="1"/>
  </cols>
  <sheetData>
    <row r="1" spans="1:7" x14ac:dyDescent="0.25">
      <c r="A1" t="s">
        <v>9</v>
      </c>
    </row>
    <row r="2" spans="1:7" x14ac:dyDescent="0.25">
      <c r="A2" t="s">
        <v>8</v>
      </c>
    </row>
    <row r="4" spans="1:7" x14ac:dyDescent="0.25">
      <c r="A4" t="s">
        <v>10</v>
      </c>
    </row>
    <row r="5" spans="1:7" x14ac:dyDescent="0.25">
      <c r="A5" t="s">
        <v>11</v>
      </c>
    </row>
    <row r="6" spans="1:7" x14ac:dyDescent="0.25">
      <c r="A6" t="s">
        <v>12</v>
      </c>
    </row>
    <row r="7" spans="1:7" x14ac:dyDescent="0.25">
      <c r="A7" t="s">
        <v>13</v>
      </c>
    </row>
    <row r="9" spans="1:7" x14ac:dyDescent="0.25">
      <c r="A9" s="4" t="s">
        <v>14</v>
      </c>
    </row>
    <row r="10" spans="1:7" x14ac:dyDescent="0.25">
      <c r="A10" t="s">
        <v>9</v>
      </c>
      <c r="F10" s="5" t="s">
        <v>19</v>
      </c>
      <c r="G10" s="6"/>
    </row>
    <row r="11" spans="1:7" x14ac:dyDescent="0.25">
      <c r="A11" t="s">
        <v>8</v>
      </c>
      <c r="F11" s="7" t="s">
        <v>20</v>
      </c>
      <c r="G11" s="8" t="s">
        <v>32</v>
      </c>
    </row>
    <row r="12" spans="1:7" x14ac:dyDescent="0.25">
      <c r="A12" t="s">
        <v>10</v>
      </c>
      <c r="B12" t="s">
        <v>17</v>
      </c>
      <c r="C12" t="s">
        <v>16</v>
      </c>
      <c r="F12" s="7" t="s">
        <v>21</v>
      </c>
      <c r="G12" s="8" t="s">
        <v>32</v>
      </c>
    </row>
    <row r="13" spans="1:7" x14ac:dyDescent="0.25">
      <c r="B13" t="s">
        <v>18</v>
      </c>
      <c r="C13" t="s">
        <v>16</v>
      </c>
      <c r="F13" s="7" t="s">
        <v>22</v>
      </c>
      <c r="G13" s="8" t="s">
        <v>32</v>
      </c>
    </row>
    <row r="14" spans="1:7" x14ac:dyDescent="0.25">
      <c r="B14" t="s">
        <v>16</v>
      </c>
      <c r="F14" s="9" t="s">
        <v>23</v>
      </c>
      <c r="G14" s="10" t="s">
        <v>32</v>
      </c>
    </row>
    <row r="15" spans="1:7" x14ac:dyDescent="0.25">
      <c r="A15" t="s">
        <v>11</v>
      </c>
      <c r="B15" t="s">
        <v>17</v>
      </c>
      <c r="C15" t="s">
        <v>16</v>
      </c>
      <c r="F15" s="5" t="s">
        <v>18</v>
      </c>
      <c r="G15" s="6"/>
    </row>
    <row r="16" spans="1:7" x14ac:dyDescent="0.25">
      <c r="B16" t="s">
        <v>18</v>
      </c>
      <c r="C16" t="s">
        <v>16</v>
      </c>
      <c r="F16" s="7" t="s">
        <v>24</v>
      </c>
      <c r="G16" s="8" t="s">
        <v>32</v>
      </c>
    </row>
    <row r="17" spans="1:7" x14ac:dyDescent="0.25">
      <c r="B17" t="s">
        <v>16</v>
      </c>
      <c r="F17" s="7" t="s">
        <v>25</v>
      </c>
      <c r="G17" s="8" t="s">
        <v>32</v>
      </c>
    </row>
    <row r="18" spans="1:7" x14ac:dyDescent="0.25">
      <c r="A18" t="s">
        <v>12</v>
      </c>
      <c r="B18" t="s">
        <v>17</v>
      </c>
      <c r="C18" t="s">
        <v>16</v>
      </c>
      <c r="F18" s="7" t="s">
        <v>26</v>
      </c>
      <c r="G18" s="8" t="s">
        <v>32</v>
      </c>
    </row>
    <row r="19" spans="1:7" x14ac:dyDescent="0.25">
      <c r="B19" t="s">
        <v>18</v>
      </c>
      <c r="C19" t="s">
        <v>16</v>
      </c>
      <c r="F19" s="9" t="s">
        <v>27</v>
      </c>
      <c r="G19" s="10" t="s">
        <v>32</v>
      </c>
    </row>
    <row r="20" spans="1:7" x14ac:dyDescent="0.25">
      <c r="B20" t="s">
        <v>16</v>
      </c>
      <c r="F20" s="5" t="s">
        <v>28</v>
      </c>
      <c r="G20" s="6"/>
    </row>
    <row r="21" spans="1:7" x14ac:dyDescent="0.25">
      <c r="A21" t="s">
        <v>13</v>
      </c>
      <c r="B21" t="s">
        <v>17</v>
      </c>
      <c r="C21" t="s">
        <v>16</v>
      </c>
      <c r="F21" s="7" t="s">
        <v>29</v>
      </c>
      <c r="G21" s="11"/>
    </row>
    <row r="22" spans="1:7" x14ac:dyDescent="0.25">
      <c r="B22" t="s">
        <v>18</v>
      </c>
      <c r="C22" t="s">
        <v>16</v>
      </c>
      <c r="F22" s="7" t="s">
        <v>30</v>
      </c>
      <c r="G22" s="11"/>
    </row>
    <row r="23" spans="1:7" x14ac:dyDescent="0.25">
      <c r="B23" t="s">
        <v>16</v>
      </c>
      <c r="F23" s="9" t="s">
        <v>31</v>
      </c>
      <c r="G23" s="12"/>
    </row>
    <row r="27" spans="1:7" x14ac:dyDescent="0.25">
      <c r="A27" s="4" t="s">
        <v>15</v>
      </c>
    </row>
    <row r="28" spans="1:7" x14ac:dyDescent="0.25">
      <c r="A28" t="s">
        <v>9</v>
      </c>
      <c r="F28" s="13" t="s">
        <v>19</v>
      </c>
    </row>
    <row r="29" spans="1:7" x14ac:dyDescent="0.25">
      <c r="A29" t="s">
        <v>8</v>
      </c>
      <c r="F29" s="14" t="s">
        <v>20</v>
      </c>
    </row>
    <row r="30" spans="1:7" x14ac:dyDescent="0.25">
      <c r="A30" t="s">
        <v>10</v>
      </c>
      <c r="B30" t="s">
        <v>17</v>
      </c>
      <c r="F30" s="14" t="s">
        <v>21</v>
      </c>
    </row>
    <row r="31" spans="1:7" x14ac:dyDescent="0.25">
      <c r="B31" t="s">
        <v>18</v>
      </c>
      <c r="F31" s="14" t="s">
        <v>22</v>
      </c>
    </row>
    <row r="32" spans="1:7" x14ac:dyDescent="0.25">
      <c r="A32" t="s">
        <v>11</v>
      </c>
      <c r="B32" t="s">
        <v>17</v>
      </c>
      <c r="F32" s="15" t="s">
        <v>23</v>
      </c>
    </row>
    <row r="33" spans="1:6" x14ac:dyDescent="0.25">
      <c r="B33" t="s">
        <v>18</v>
      </c>
      <c r="F33" s="13" t="s">
        <v>18</v>
      </c>
    </row>
    <row r="34" spans="1:6" x14ac:dyDescent="0.25">
      <c r="A34" t="s">
        <v>12</v>
      </c>
      <c r="B34" t="s">
        <v>17</v>
      </c>
      <c r="F34" s="14" t="s">
        <v>24</v>
      </c>
    </row>
    <row r="35" spans="1:6" x14ac:dyDescent="0.25">
      <c r="B35" t="s">
        <v>18</v>
      </c>
      <c r="F35" s="14" t="s">
        <v>25</v>
      </c>
    </row>
    <row r="36" spans="1:6" x14ac:dyDescent="0.25">
      <c r="A36" t="s">
        <v>13</v>
      </c>
      <c r="B36" t="s">
        <v>17</v>
      </c>
      <c r="F36" s="14" t="s">
        <v>26</v>
      </c>
    </row>
    <row r="37" spans="1:6" x14ac:dyDescent="0.25">
      <c r="B37" t="s">
        <v>18</v>
      </c>
      <c r="F37" s="15" t="s">
        <v>27</v>
      </c>
    </row>
    <row r="40" spans="1:6" x14ac:dyDescent="0.25">
      <c r="A40" t="s">
        <v>33</v>
      </c>
    </row>
    <row r="41" spans="1:6" x14ac:dyDescent="0.25">
      <c r="A41" t="s">
        <v>34</v>
      </c>
    </row>
    <row r="42" spans="1:6" x14ac:dyDescent="0.25">
      <c r="A4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F19" sqref="F19"/>
    </sheetView>
  </sheetViews>
  <sheetFormatPr defaultRowHeight="15" x14ac:dyDescent="0.25"/>
  <cols>
    <col min="1" max="1" width="5.5703125" bestFit="1" customWidth="1"/>
    <col min="2" max="2" width="4.42578125" bestFit="1" customWidth="1"/>
    <col min="3" max="4" width="3" bestFit="1" customWidth="1"/>
  </cols>
  <sheetData>
    <row r="1" spans="1:8" x14ac:dyDescent="0.25">
      <c r="A1">
        <v>0</v>
      </c>
      <c r="B1" t="s">
        <v>36</v>
      </c>
    </row>
    <row r="2" spans="1:8" x14ac:dyDescent="0.25">
      <c r="A2">
        <v>1</v>
      </c>
      <c r="B2" t="s">
        <v>38</v>
      </c>
    </row>
    <row r="3" spans="1:8" x14ac:dyDescent="0.25">
      <c r="A3">
        <v>2</v>
      </c>
      <c r="B3" t="s">
        <v>37</v>
      </c>
    </row>
    <row r="4" spans="1:8" x14ac:dyDescent="0.25">
      <c r="A4">
        <v>3</v>
      </c>
      <c r="B4" t="s">
        <v>39</v>
      </c>
    </row>
    <row r="6" spans="1:8" x14ac:dyDescent="0.25">
      <c r="B6">
        <v>0</v>
      </c>
      <c r="C6">
        <v>1</v>
      </c>
      <c r="D6">
        <v>2</v>
      </c>
    </row>
    <row r="7" spans="1:8" x14ac:dyDescent="0.25">
      <c r="B7">
        <v>0</v>
      </c>
      <c r="C7">
        <v>1</v>
      </c>
      <c r="D7">
        <v>3</v>
      </c>
    </row>
    <row r="8" spans="1:8" x14ac:dyDescent="0.25">
      <c r="B8">
        <v>0</v>
      </c>
      <c r="C8">
        <v>2</v>
      </c>
      <c r="D8">
        <v>3</v>
      </c>
    </row>
    <row r="9" spans="1:8" x14ac:dyDescent="0.25">
      <c r="B9">
        <v>1</v>
      </c>
      <c r="C9">
        <v>2</v>
      </c>
      <c r="D9">
        <v>3</v>
      </c>
    </row>
    <row r="11" spans="1:8" x14ac:dyDescent="0.25">
      <c r="A11" t="s">
        <v>40</v>
      </c>
      <c r="B11">
        <v>2</v>
      </c>
      <c r="C11">
        <v>3</v>
      </c>
      <c r="D11">
        <v>6</v>
      </c>
      <c r="F11">
        <f>B11-2</f>
        <v>0</v>
      </c>
      <c r="G11">
        <f t="shared" ref="G11:H26" si="0">C11-2</f>
        <v>1</v>
      </c>
      <c r="H11">
        <f t="shared" si="0"/>
        <v>4</v>
      </c>
    </row>
    <row r="12" spans="1:8" x14ac:dyDescent="0.25">
      <c r="A12" t="s">
        <v>41</v>
      </c>
      <c r="D12">
        <v>11</v>
      </c>
      <c r="H12">
        <f t="shared" si="0"/>
        <v>9</v>
      </c>
    </row>
    <row r="13" spans="1:8" x14ac:dyDescent="0.25">
      <c r="A13" t="s">
        <v>42</v>
      </c>
      <c r="D13">
        <v>12</v>
      </c>
      <c r="H13">
        <f t="shared" si="0"/>
        <v>10</v>
      </c>
    </row>
    <row r="14" spans="1:8" x14ac:dyDescent="0.25">
      <c r="A14" t="s">
        <v>43</v>
      </c>
      <c r="D14">
        <v>13</v>
      </c>
      <c r="H14">
        <f t="shared" si="0"/>
        <v>11</v>
      </c>
    </row>
    <row r="15" spans="1:8" x14ac:dyDescent="0.25">
      <c r="A15" t="s">
        <v>44</v>
      </c>
      <c r="B15">
        <v>4</v>
      </c>
      <c r="C15">
        <v>5</v>
      </c>
      <c r="D15">
        <v>6</v>
      </c>
      <c r="F15">
        <f t="shared" ref="F12:F34" si="1">B15-2</f>
        <v>2</v>
      </c>
      <c r="G15">
        <f t="shared" si="0"/>
        <v>3</v>
      </c>
      <c r="H15">
        <f t="shared" si="0"/>
        <v>4</v>
      </c>
    </row>
    <row r="16" spans="1:8" x14ac:dyDescent="0.25">
      <c r="A16" t="s">
        <v>45</v>
      </c>
      <c r="D16">
        <v>11</v>
      </c>
      <c r="H16">
        <f t="shared" si="0"/>
        <v>9</v>
      </c>
    </row>
    <row r="17" spans="1:8" x14ac:dyDescent="0.25">
      <c r="A17" t="s">
        <v>46</v>
      </c>
      <c r="D17">
        <v>12</v>
      </c>
      <c r="H17">
        <f t="shared" si="0"/>
        <v>10</v>
      </c>
    </row>
    <row r="18" spans="1:8" x14ac:dyDescent="0.25">
      <c r="A18" t="s">
        <v>47</v>
      </c>
      <c r="D18">
        <v>13</v>
      </c>
      <c r="H18">
        <f t="shared" si="0"/>
        <v>11</v>
      </c>
    </row>
    <row r="19" spans="1:8" x14ac:dyDescent="0.25">
      <c r="A19" t="s">
        <v>48</v>
      </c>
      <c r="B19">
        <v>7</v>
      </c>
      <c r="C19">
        <v>8</v>
      </c>
      <c r="D19">
        <v>6</v>
      </c>
      <c r="F19">
        <f t="shared" si="1"/>
        <v>5</v>
      </c>
      <c r="G19">
        <f t="shared" si="0"/>
        <v>6</v>
      </c>
      <c r="H19">
        <f t="shared" si="0"/>
        <v>4</v>
      </c>
    </row>
    <row r="20" spans="1:8" x14ac:dyDescent="0.25">
      <c r="A20" t="s">
        <v>49</v>
      </c>
      <c r="D20">
        <v>11</v>
      </c>
      <c r="H20">
        <f t="shared" si="0"/>
        <v>9</v>
      </c>
    </row>
    <row r="21" spans="1:8" x14ac:dyDescent="0.25">
      <c r="D21">
        <v>12</v>
      </c>
      <c r="H21">
        <f t="shared" si="0"/>
        <v>10</v>
      </c>
    </row>
    <row r="22" spans="1:8" x14ac:dyDescent="0.25">
      <c r="D22">
        <v>13</v>
      </c>
      <c r="H22">
        <f t="shared" si="0"/>
        <v>11</v>
      </c>
    </row>
    <row r="23" spans="1:8" x14ac:dyDescent="0.25">
      <c r="B23">
        <v>9</v>
      </c>
      <c r="C23">
        <v>10</v>
      </c>
      <c r="D23">
        <v>6</v>
      </c>
      <c r="F23">
        <f t="shared" si="1"/>
        <v>7</v>
      </c>
      <c r="G23">
        <f t="shared" si="0"/>
        <v>8</v>
      </c>
      <c r="H23">
        <f t="shared" si="0"/>
        <v>4</v>
      </c>
    </row>
    <row r="24" spans="1:8" x14ac:dyDescent="0.25">
      <c r="D24">
        <v>11</v>
      </c>
      <c r="H24">
        <f t="shared" si="0"/>
        <v>9</v>
      </c>
    </row>
    <row r="25" spans="1:8" x14ac:dyDescent="0.25">
      <c r="D25">
        <v>12</v>
      </c>
      <c r="H25">
        <f t="shared" si="0"/>
        <v>10</v>
      </c>
    </row>
    <row r="26" spans="1:8" x14ac:dyDescent="0.25">
      <c r="D26">
        <v>13</v>
      </c>
      <c r="H26">
        <f t="shared" si="0"/>
        <v>11</v>
      </c>
    </row>
    <row r="27" spans="1:8" x14ac:dyDescent="0.25">
      <c r="B27">
        <v>14</v>
      </c>
      <c r="C27">
        <v>16</v>
      </c>
      <c r="D27">
        <v>6</v>
      </c>
      <c r="F27">
        <f t="shared" si="1"/>
        <v>12</v>
      </c>
      <c r="G27">
        <f t="shared" ref="G27:G34" si="2">C27-2</f>
        <v>14</v>
      </c>
      <c r="H27">
        <f t="shared" ref="H27:H34" si="3">D27-2</f>
        <v>4</v>
      </c>
    </row>
    <row r="28" spans="1:8" x14ac:dyDescent="0.25">
      <c r="D28">
        <v>11</v>
      </c>
      <c r="H28">
        <f t="shared" si="3"/>
        <v>9</v>
      </c>
    </row>
    <row r="29" spans="1:8" x14ac:dyDescent="0.25">
      <c r="D29">
        <v>12</v>
      </c>
      <c r="H29">
        <f t="shared" si="3"/>
        <v>10</v>
      </c>
    </row>
    <row r="30" spans="1:8" x14ac:dyDescent="0.25">
      <c r="D30">
        <v>13</v>
      </c>
      <c r="H30">
        <f t="shared" si="3"/>
        <v>11</v>
      </c>
    </row>
    <row r="31" spans="1:8" x14ac:dyDescent="0.25">
      <c r="B31">
        <v>15</v>
      </c>
      <c r="C31">
        <v>17</v>
      </c>
      <c r="D31">
        <v>6</v>
      </c>
      <c r="F31">
        <f t="shared" si="1"/>
        <v>13</v>
      </c>
      <c r="G31">
        <f t="shared" si="2"/>
        <v>15</v>
      </c>
      <c r="H31">
        <f t="shared" si="3"/>
        <v>4</v>
      </c>
    </row>
    <row r="32" spans="1:8" x14ac:dyDescent="0.25">
      <c r="D32">
        <v>11</v>
      </c>
      <c r="H32">
        <f t="shared" si="3"/>
        <v>9</v>
      </c>
    </row>
    <row r="33" spans="4:8" x14ac:dyDescent="0.25">
      <c r="D33">
        <v>12</v>
      </c>
      <c r="H33">
        <f t="shared" si="3"/>
        <v>10</v>
      </c>
    </row>
    <row r="34" spans="4:8" x14ac:dyDescent="0.25">
      <c r="D34">
        <v>13</v>
      </c>
      <c r="H34">
        <f t="shared" si="3"/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12" sqref="A12:F21"/>
    </sheetView>
  </sheetViews>
  <sheetFormatPr defaultRowHeight="15" x14ac:dyDescent="0.25"/>
  <cols>
    <col min="1" max="1" width="13.42578125" bestFit="1" customWidth="1"/>
    <col min="2" max="2" width="8" bestFit="1" customWidth="1"/>
  </cols>
  <sheetData>
    <row r="1" spans="1:7" x14ac:dyDescent="0.25">
      <c r="A1" s="18" t="s">
        <v>57</v>
      </c>
      <c r="B1" s="18"/>
      <c r="C1" s="18"/>
      <c r="D1" s="18"/>
      <c r="E1" s="18"/>
      <c r="F1" s="18"/>
      <c r="G1" s="16"/>
    </row>
    <row r="2" spans="1:7" x14ac:dyDescent="0.25">
      <c r="A2" s="19"/>
      <c r="B2" s="20" t="s">
        <v>59</v>
      </c>
      <c r="C2" s="20" t="s">
        <v>10</v>
      </c>
      <c r="D2" s="20" t="s">
        <v>11</v>
      </c>
      <c r="E2" s="20" t="s">
        <v>60</v>
      </c>
      <c r="F2" s="20" t="s">
        <v>61</v>
      </c>
      <c r="G2" s="16"/>
    </row>
    <row r="3" spans="1:7" x14ac:dyDescent="0.25">
      <c r="A3" s="19" t="s">
        <v>62</v>
      </c>
      <c r="B3" s="23">
        <v>0.98499999999999999</v>
      </c>
      <c r="C3" s="24">
        <v>0.89700000000000002</v>
      </c>
      <c r="D3" s="23">
        <v>0.86899999999999999</v>
      </c>
      <c r="E3" s="23">
        <v>0.96699999999999997</v>
      </c>
      <c r="F3" s="23">
        <v>0.98099999999999998</v>
      </c>
      <c r="G3" s="17"/>
    </row>
    <row r="4" spans="1:7" x14ac:dyDescent="0.25">
      <c r="A4" s="19" t="s">
        <v>50</v>
      </c>
      <c r="B4" s="19">
        <v>1234.75</v>
      </c>
      <c r="C4" s="19">
        <v>1042.19</v>
      </c>
      <c r="D4" s="19">
        <v>1029.6300000000001</v>
      </c>
      <c r="E4" s="19">
        <v>641.65</v>
      </c>
      <c r="F4" s="19">
        <v>914.7</v>
      </c>
    </row>
    <row r="5" spans="1:7" x14ac:dyDescent="0.25">
      <c r="A5" s="19" t="s">
        <v>51</v>
      </c>
      <c r="B5" s="19">
        <v>0.24</v>
      </c>
      <c r="C5" s="19">
        <v>0.27</v>
      </c>
      <c r="D5" s="19">
        <v>0.27</v>
      </c>
      <c r="E5" s="19">
        <v>7.0000000000000007E-2</v>
      </c>
      <c r="F5" s="22">
        <v>0.44</v>
      </c>
    </row>
    <row r="6" spans="1:7" x14ac:dyDescent="0.25">
      <c r="A6" s="19" t="s">
        <v>52</v>
      </c>
      <c r="B6" s="19">
        <v>0.39</v>
      </c>
      <c r="C6" s="19">
        <v>0.43</v>
      </c>
      <c r="D6" s="19">
        <v>0.44</v>
      </c>
      <c r="E6" s="19">
        <v>0.1</v>
      </c>
      <c r="F6" s="22">
        <v>0.72</v>
      </c>
    </row>
    <row r="7" spans="1:7" x14ac:dyDescent="0.25">
      <c r="A7" s="19" t="s">
        <v>53</v>
      </c>
      <c r="B7" s="19">
        <v>0.17</v>
      </c>
      <c r="C7" s="19">
        <v>0.19</v>
      </c>
      <c r="D7" s="19">
        <v>0.2</v>
      </c>
      <c r="E7" s="19">
        <v>0.05</v>
      </c>
      <c r="F7" s="22">
        <v>0.32</v>
      </c>
    </row>
    <row r="8" spans="1:7" x14ac:dyDescent="0.25">
      <c r="A8" s="19" t="s">
        <v>54</v>
      </c>
      <c r="B8" s="19">
        <v>0.3</v>
      </c>
      <c r="C8" s="19">
        <v>0.3</v>
      </c>
      <c r="D8" s="19">
        <v>0.28999999999999998</v>
      </c>
      <c r="E8" s="21">
        <v>0.34</v>
      </c>
      <c r="F8" s="19">
        <v>0.36</v>
      </c>
    </row>
    <row r="9" spans="1:7" x14ac:dyDescent="0.25">
      <c r="A9" s="19" t="s">
        <v>55</v>
      </c>
      <c r="B9" s="19">
        <v>7105.55</v>
      </c>
      <c r="C9" s="19">
        <v>7450.16</v>
      </c>
      <c r="D9" s="19">
        <v>7350.62</v>
      </c>
      <c r="E9" s="21">
        <v>6412.07</v>
      </c>
      <c r="F9" s="19">
        <v>7228.48</v>
      </c>
    </row>
    <row r="10" spans="1:7" x14ac:dyDescent="0.25">
      <c r="A10" s="19" t="s">
        <v>56</v>
      </c>
      <c r="B10" s="19">
        <v>7550.58</v>
      </c>
      <c r="C10" s="19">
        <v>7645.17</v>
      </c>
      <c r="D10" s="19">
        <v>7595.64</v>
      </c>
      <c r="E10" s="21">
        <v>6557.08</v>
      </c>
      <c r="F10" s="19">
        <v>7476.49</v>
      </c>
    </row>
    <row r="12" spans="1:7" x14ac:dyDescent="0.25">
      <c r="A12" s="18" t="s">
        <v>58</v>
      </c>
      <c r="B12" s="18"/>
      <c r="C12" s="18"/>
      <c r="D12" s="18"/>
      <c r="E12" s="18"/>
      <c r="F12" s="18"/>
    </row>
    <row r="13" spans="1:7" x14ac:dyDescent="0.25">
      <c r="A13" s="19"/>
      <c r="B13" s="20" t="s">
        <v>59</v>
      </c>
      <c r="C13" s="20" t="s">
        <v>10</v>
      </c>
      <c r="D13" s="20" t="s">
        <v>11</v>
      </c>
      <c r="E13" s="20" t="s">
        <v>60</v>
      </c>
      <c r="F13" s="20" t="s">
        <v>61</v>
      </c>
    </row>
    <row r="14" spans="1:7" x14ac:dyDescent="0.25">
      <c r="A14" s="19" t="s">
        <v>62</v>
      </c>
      <c r="B14" s="23">
        <v>0.77300000000000002</v>
      </c>
      <c r="C14" s="23">
        <v>0.70699999999999996</v>
      </c>
      <c r="D14" s="23">
        <v>0.44700000000000001</v>
      </c>
      <c r="E14" s="23">
        <v>0.625</v>
      </c>
      <c r="F14" s="23">
        <v>0.66800000000000004</v>
      </c>
    </row>
    <row r="15" spans="1:7" x14ac:dyDescent="0.25">
      <c r="A15" s="19" t="s">
        <v>50</v>
      </c>
      <c r="B15" s="19">
        <v>157224.15</v>
      </c>
      <c r="C15" s="19">
        <v>113492.1</v>
      </c>
      <c r="D15" s="19">
        <v>90318.15</v>
      </c>
      <c r="E15" s="19">
        <v>90154.63</v>
      </c>
      <c r="F15" s="19">
        <v>122453.05</v>
      </c>
    </row>
    <row r="16" spans="1:7" x14ac:dyDescent="0.25">
      <c r="A16" s="19" t="s">
        <v>51</v>
      </c>
      <c r="B16" s="19">
        <v>0.18</v>
      </c>
      <c r="C16" s="25">
        <v>0.3</v>
      </c>
      <c r="D16" s="19">
        <v>0.28999999999999998</v>
      </c>
      <c r="E16" s="19">
        <v>0.17</v>
      </c>
      <c r="F16" s="19">
        <v>0.25</v>
      </c>
    </row>
    <row r="17" spans="1:6" x14ac:dyDescent="0.25">
      <c r="A17" s="19" t="s">
        <v>52</v>
      </c>
      <c r="B17" s="19">
        <v>0.14000000000000001</v>
      </c>
      <c r="C17" s="25">
        <v>0.24</v>
      </c>
      <c r="D17" s="19">
        <v>0.23</v>
      </c>
      <c r="E17" s="19">
        <v>0.13</v>
      </c>
      <c r="F17" s="19">
        <v>0.2</v>
      </c>
    </row>
    <row r="18" spans="1:6" x14ac:dyDescent="0.25">
      <c r="A18" s="19" t="s">
        <v>53</v>
      </c>
      <c r="B18" s="19">
        <v>0.26</v>
      </c>
      <c r="C18" s="25">
        <v>0.4</v>
      </c>
      <c r="D18" s="19">
        <v>0.42</v>
      </c>
      <c r="E18" s="19">
        <v>0.24</v>
      </c>
      <c r="F18" s="19">
        <v>0.36</v>
      </c>
    </row>
    <row r="19" spans="1:6" x14ac:dyDescent="0.25">
      <c r="A19" s="19" t="s">
        <v>54</v>
      </c>
      <c r="B19" s="19">
        <v>0.11</v>
      </c>
      <c r="C19" s="19">
        <v>0.11</v>
      </c>
      <c r="D19" s="19">
        <v>0.11</v>
      </c>
      <c r="E19" s="21">
        <v>0.12</v>
      </c>
      <c r="F19" s="19">
        <v>7.0000000000000007E-2</v>
      </c>
    </row>
    <row r="20" spans="1:6" x14ac:dyDescent="0.25">
      <c r="A20" s="19" t="s">
        <v>55</v>
      </c>
      <c r="B20" s="19">
        <v>497345.38</v>
      </c>
      <c r="C20" s="19">
        <v>411412.53</v>
      </c>
      <c r="D20" s="19">
        <v>362000.09</v>
      </c>
      <c r="E20" s="21">
        <v>317088.38</v>
      </c>
      <c r="F20" s="19">
        <v>458830.91</v>
      </c>
    </row>
    <row r="21" spans="1:6" x14ac:dyDescent="0.25">
      <c r="A21" s="19" t="s">
        <v>56</v>
      </c>
      <c r="B21" s="19">
        <v>502038.07</v>
      </c>
      <c r="C21" s="19">
        <v>414999.25</v>
      </c>
      <c r="D21" s="19">
        <v>3635013.92</v>
      </c>
      <c r="E21" s="21">
        <v>318877.90000000002</v>
      </c>
      <c r="F21" s="19">
        <v>460620.43</v>
      </c>
    </row>
  </sheetData>
  <mergeCells count="2">
    <mergeCell ref="A1:F1"/>
    <mergeCell ref="A12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H19" sqref="H19"/>
    </sheetView>
  </sheetViews>
  <sheetFormatPr defaultRowHeight="15" x14ac:dyDescent="0.25"/>
  <cols>
    <col min="1" max="1" width="3.7109375" bestFit="1" customWidth="1"/>
    <col min="2" max="2" width="4" bestFit="1" customWidth="1"/>
    <col min="3" max="3" width="7.28515625" bestFit="1" customWidth="1"/>
    <col min="4" max="5" width="8.28515625" bestFit="1" customWidth="1"/>
    <col min="6" max="6" width="9" bestFit="1" customWidth="1"/>
  </cols>
  <sheetData>
    <row r="1" spans="1:6" x14ac:dyDescent="0.25">
      <c r="D1" s="47" t="s">
        <v>64</v>
      </c>
      <c r="E1" s="48"/>
      <c r="F1" s="49"/>
    </row>
    <row r="2" spans="1:6" x14ac:dyDescent="0.25">
      <c r="D2" s="44">
        <v>9.9999999999999995E-8</v>
      </c>
      <c r="E2" s="45">
        <v>1.0000000000000001E-5</v>
      </c>
      <c r="F2" s="46">
        <v>1E-3</v>
      </c>
    </row>
    <row r="3" spans="1:6" x14ac:dyDescent="0.25">
      <c r="A3" s="50" t="s">
        <v>63</v>
      </c>
      <c r="B3" s="29">
        <v>1</v>
      </c>
      <c r="C3" s="26" t="s">
        <v>65</v>
      </c>
      <c r="D3" s="41">
        <v>143</v>
      </c>
      <c r="E3" s="42">
        <v>87</v>
      </c>
      <c r="F3" s="43">
        <v>31</v>
      </c>
    </row>
    <row r="4" spans="1:6" x14ac:dyDescent="0.25">
      <c r="A4" s="51"/>
      <c r="B4" s="30"/>
      <c r="C4" s="27" t="s">
        <v>66</v>
      </c>
      <c r="D4" s="34" t="s">
        <v>70</v>
      </c>
      <c r="E4" s="36" t="s">
        <v>71</v>
      </c>
      <c r="F4" s="35" t="s">
        <v>72</v>
      </c>
    </row>
    <row r="5" spans="1:6" x14ac:dyDescent="0.25">
      <c r="A5" s="51"/>
      <c r="B5" s="30"/>
      <c r="C5" s="27" t="s">
        <v>67</v>
      </c>
      <c r="D5" s="34">
        <v>9.4300000000000004E-8</v>
      </c>
      <c r="E5" s="36">
        <v>9.6600000000000007E-6</v>
      </c>
      <c r="F5" s="35">
        <v>9.8499999999999998E-4</v>
      </c>
    </row>
    <row r="6" spans="1:6" x14ac:dyDescent="0.25">
      <c r="A6" s="51"/>
      <c r="B6" s="30"/>
      <c r="C6" s="27" t="s">
        <v>68</v>
      </c>
      <c r="D6" s="32">
        <v>7.2800000000000004E-2</v>
      </c>
      <c r="E6" s="37">
        <v>7.2800000000000004E-2</v>
      </c>
      <c r="F6" s="38">
        <v>7.1300000000000002E-2</v>
      </c>
    </row>
    <row r="7" spans="1:6" x14ac:dyDescent="0.25">
      <c r="A7" s="51"/>
      <c r="B7" s="31"/>
      <c r="C7" s="28" t="s">
        <v>69</v>
      </c>
      <c r="D7" s="33">
        <v>5.8999999999999997E-2</v>
      </c>
      <c r="E7" s="39">
        <v>5.8999999999999997E-2</v>
      </c>
      <c r="F7" s="40">
        <v>5.8999999999999997E-2</v>
      </c>
    </row>
    <row r="8" spans="1:6" x14ac:dyDescent="0.25">
      <c r="A8" s="51"/>
      <c r="B8" s="29">
        <v>0.7</v>
      </c>
      <c r="C8" s="26" t="s">
        <v>65</v>
      </c>
      <c r="D8" s="5">
        <v>31</v>
      </c>
      <c r="E8" s="26">
        <v>23</v>
      </c>
      <c r="F8" s="6">
        <v>14</v>
      </c>
    </row>
    <row r="9" spans="1:6" x14ac:dyDescent="0.25">
      <c r="A9" s="51"/>
      <c r="B9" s="30"/>
      <c r="C9" s="27" t="s">
        <v>66</v>
      </c>
      <c r="D9" s="7"/>
      <c r="E9" s="27"/>
      <c r="F9" s="11"/>
    </row>
    <row r="10" spans="1:6" x14ac:dyDescent="0.25">
      <c r="A10" s="51"/>
      <c r="B10" s="30"/>
      <c r="C10" s="27" t="s">
        <v>67</v>
      </c>
      <c r="D10" s="7"/>
      <c r="E10" s="27"/>
      <c r="F10" s="11"/>
    </row>
    <row r="11" spans="1:6" x14ac:dyDescent="0.25">
      <c r="A11" s="51"/>
      <c r="B11" s="30"/>
      <c r="C11" s="27" t="s">
        <v>68</v>
      </c>
      <c r="D11" s="7"/>
      <c r="E11" s="27"/>
      <c r="F11" s="11"/>
    </row>
    <row r="12" spans="1:6" x14ac:dyDescent="0.25">
      <c r="A12" s="51"/>
      <c r="B12" s="31"/>
      <c r="C12" s="28" t="s">
        <v>69</v>
      </c>
      <c r="D12" s="9"/>
      <c r="E12" s="28"/>
      <c r="F12" s="12"/>
    </row>
    <row r="13" spans="1:6" x14ac:dyDescent="0.25">
      <c r="A13" s="51"/>
      <c r="B13" s="29">
        <v>0.3</v>
      </c>
      <c r="C13" s="26" t="s">
        <v>65</v>
      </c>
      <c r="D13" s="5">
        <v>10</v>
      </c>
      <c r="E13" s="26">
        <v>7</v>
      </c>
      <c r="F13" s="6">
        <v>4</v>
      </c>
    </row>
    <row r="14" spans="1:6" x14ac:dyDescent="0.25">
      <c r="A14" s="51"/>
      <c r="B14" s="30"/>
      <c r="C14" s="27" t="s">
        <v>66</v>
      </c>
      <c r="D14" s="7"/>
      <c r="E14" s="27"/>
      <c r="F14" s="11"/>
    </row>
    <row r="15" spans="1:6" x14ac:dyDescent="0.25">
      <c r="A15" s="51"/>
      <c r="B15" s="30"/>
      <c r="C15" s="27" t="s">
        <v>67</v>
      </c>
      <c r="D15" s="7"/>
      <c r="E15" s="27"/>
      <c r="F15" s="11"/>
    </row>
    <row r="16" spans="1:6" x14ac:dyDescent="0.25">
      <c r="A16" s="51"/>
      <c r="B16" s="30"/>
      <c r="C16" s="27" t="s">
        <v>68</v>
      </c>
      <c r="D16" s="7"/>
      <c r="E16" s="27"/>
      <c r="F16" s="11"/>
    </row>
    <row r="17" spans="1:6" x14ac:dyDescent="0.25">
      <c r="A17" s="52"/>
      <c r="B17" s="31"/>
      <c r="C17" s="28" t="s">
        <v>69</v>
      </c>
      <c r="D17" s="9"/>
      <c r="E17" s="28"/>
      <c r="F17" s="12"/>
    </row>
  </sheetData>
  <mergeCells count="5">
    <mergeCell ref="D1:F1"/>
    <mergeCell ref="B3:B7"/>
    <mergeCell ref="B8:B12"/>
    <mergeCell ref="B13:B17"/>
    <mergeCell ref="A3:A1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Windows 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2020-07-22T05:48:06Z</dcterms:created>
  <dcterms:modified xsi:type="dcterms:W3CDTF">2020-11-18T09:00:14Z</dcterms:modified>
</cp:coreProperties>
</file>